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ДОКУМЕНТЫ\New folder\"/>
    </mc:Choice>
  </mc:AlternateContent>
  <xr:revisionPtr revIDLastSave="0" documentId="13_ncr:1_{0C813A11-A2F9-4D35-9D80-CFD75107FF74}" xr6:coauthVersionLast="47" xr6:coauthVersionMax="47" xr10:uidLastSave="{00000000-0000-0000-0000-000000000000}"/>
  <bookViews>
    <workbookView xWindow="-110" yWindow="-110" windowWidth="21820" windowHeight="13900" tabRatio="536" activeTab="2" xr2:uid="{7D52C399-3AD3-44D7-AD5A-48C148AC9E19}"/>
  </bookViews>
  <sheets>
    <sheet name="Panel" sheetId="2" r:id="rId1"/>
    <sheet name="Спецификация" sheetId="1" r:id="rId2"/>
    <sheet name="Комплектующие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1" i="1" l="1"/>
  <c r="F61" i="1"/>
  <c r="K58" i="1"/>
  <c r="F58" i="1"/>
  <c r="I55" i="1"/>
  <c r="F55" i="1"/>
  <c r="H54" i="1"/>
  <c r="I54" i="1" s="1"/>
  <c r="F54" i="1"/>
  <c r="H53" i="1"/>
  <c r="I53" i="1" s="1"/>
  <c r="F53" i="1"/>
  <c r="H52" i="1"/>
  <c r="I52" i="1" s="1"/>
  <c r="F52" i="1"/>
  <c r="H51" i="1"/>
  <c r="I51" i="1" s="1"/>
  <c r="F51" i="1"/>
  <c r="H50" i="1"/>
  <c r="I50" i="1" s="1"/>
  <c r="F50" i="1"/>
  <c r="H49" i="1"/>
  <c r="I49" i="1" s="1"/>
  <c r="F49" i="1"/>
  <c r="H48" i="1"/>
  <c r="I48" i="1" s="1"/>
  <c r="F48" i="1"/>
  <c r="H47" i="1"/>
  <c r="I47" i="1" s="1"/>
  <c r="F47" i="1"/>
  <c r="H46" i="1"/>
  <c r="I46" i="1" s="1"/>
  <c r="F46" i="1"/>
  <c r="H45" i="1"/>
  <c r="I45" i="1" s="1"/>
  <c r="F45" i="1"/>
  <c r="H44" i="1"/>
  <c r="I44" i="1" s="1"/>
  <c r="F44" i="1"/>
  <c r="H43" i="1"/>
  <c r="I43" i="1" s="1"/>
  <c r="F43" i="1"/>
  <c r="H42" i="1"/>
  <c r="I42" i="1" s="1"/>
  <c r="F42" i="1"/>
  <c r="H41" i="1"/>
  <c r="I41" i="1" s="1"/>
  <c r="F41" i="1"/>
  <c r="H40" i="1"/>
  <c r="I40" i="1" s="1"/>
  <c r="F40" i="1"/>
  <c r="H39" i="1"/>
  <c r="I39" i="1" s="1"/>
  <c r="F39" i="1"/>
  <c r="H38" i="1"/>
  <c r="I38" i="1" s="1"/>
  <c r="F38" i="1"/>
  <c r="H37" i="1"/>
  <c r="I37" i="1" s="1"/>
  <c r="F37" i="1"/>
  <c r="H36" i="1"/>
  <c r="I36" i="1" s="1"/>
  <c r="F36" i="1"/>
  <c r="H35" i="1"/>
  <c r="I35" i="1" s="1"/>
  <c r="F35" i="1"/>
  <c r="H34" i="1"/>
  <c r="I34" i="1" s="1"/>
  <c r="F34" i="1"/>
  <c r="H33" i="1"/>
  <c r="I33" i="1" s="1"/>
  <c r="F33" i="1"/>
  <c r="H32" i="1"/>
  <c r="I32" i="1" s="1"/>
  <c r="F32" i="1"/>
  <c r="H31" i="1"/>
  <c r="I31" i="1" s="1"/>
  <c r="F31" i="1"/>
  <c r="I28" i="1"/>
  <c r="F28" i="1"/>
  <c r="H27" i="1"/>
  <c r="I27" i="1" s="1"/>
  <c r="F27" i="1"/>
  <c r="H26" i="1"/>
  <c r="I26" i="1" s="1"/>
  <c r="F26" i="1"/>
  <c r="H25" i="1"/>
  <c r="I25" i="1" s="1"/>
  <c r="F25" i="1"/>
  <c r="H24" i="1"/>
  <c r="I24" i="1" s="1"/>
  <c r="F24" i="1"/>
  <c r="H23" i="1"/>
  <c r="I23" i="1" s="1"/>
  <c r="F23" i="1"/>
  <c r="H22" i="1"/>
  <c r="I22" i="1" s="1"/>
  <c r="F22" i="1"/>
  <c r="H21" i="1"/>
  <c r="I21" i="1" s="1"/>
  <c r="F21" i="1"/>
  <c r="H20" i="1"/>
  <c r="I20" i="1" s="1"/>
  <c r="F20" i="1"/>
  <c r="H19" i="1"/>
  <c r="I19" i="1" s="1"/>
  <c r="F19" i="1"/>
  <c r="H18" i="1"/>
  <c r="I18" i="1" s="1"/>
  <c r="F18" i="1"/>
  <c r="H17" i="1"/>
  <c r="I17" i="1" s="1"/>
  <c r="F17" i="1"/>
  <c r="H16" i="1"/>
  <c r="I16" i="1" s="1"/>
  <c r="F16" i="1"/>
  <c r="H15" i="1"/>
  <c r="I15" i="1" s="1"/>
  <c r="F15" i="1"/>
  <c r="H14" i="1"/>
  <c r="I14" i="1" s="1"/>
  <c r="F14" i="1"/>
  <c r="H13" i="1"/>
  <c r="I13" i="1" s="1"/>
  <c r="F13" i="1"/>
  <c r="H12" i="1"/>
  <c r="I12" i="1" s="1"/>
  <c r="F12" i="1"/>
  <c r="H11" i="1"/>
  <c r="I11" i="1" s="1"/>
  <c r="F11" i="1"/>
  <c r="H10" i="1"/>
  <c r="I10" i="1" s="1"/>
  <c r="F10" i="1"/>
  <c r="H9" i="1"/>
  <c r="I9" i="1" s="1"/>
  <c r="F9" i="1"/>
  <c r="H8" i="1"/>
  <c r="I8" i="1" s="1"/>
  <c r="F8" i="1"/>
  <c r="H7" i="1"/>
  <c r="I7" i="1" s="1"/>
  <c r="F7" i="1"/>
  <c r="H6" i="1"/>
  <c r="I6" i="1" s="1"/>
  <c r="F6" i="1"/>
  <c r="H5" i="1"/>
  <c r="I5" i="1" s="1"/>
  <c r="F5" i="1"/>
  <c r="H4" i="1"/>
  <c r="I4" i="1" s="1"/>
  <c r="F4" i="1"/>
  <c r="J28" i="1" l="1"/>
  <c r="J55" i="1"/>
  <c r="K55" i="1" l="1"/>
  <c r="J30" i="1"/>
  <c r="K28" i="1"/>
  <c r="J3" i="1"/>
</calcChain>
</file>

<file path=xl/sharedStrings.xml><?xml version="1.0" encoding="utf-8"?>
<sst xmlns="http://schemas.openxmlformats.org/spreadsheetml/2006/main" count="277" uniqueCount="87">
  <si>
    <t>Проект:</t>
  </si>
  <si>
    <t>№ П/П</t>
  </si>
  <si>
    <t>Продукция</t>
  </si>
  <si>
    <t>Артикул</t>
  </si>
  <si>
    <t>Ед. изм.</t>
  </si>
  <si>
    <t>Кол-во</t>
  </si>
  <si>
    <t>Цена с НДС 20%</t>
  </si>
  <si>
    <t>С/с б/НДС 20%</t>
  </si>
  <si>
    <t>Сумма с/с б/НДС 20%</t>
  </si>
  <si>
    <t>СС с НДС 20%</t>
  </si>
  <si>
    <t>Сумма с НДС 20%</t>
  </si>
  <si>
    <t>Срок для "горячих" заказов:
1 - в наличии
2 - 30 дней
3 - под заказ</t>
  </si>
  <si>
    <t>Комментарий</t>
  </si>
  <si>
    <t>шт</t>
  </si>
  <si>
    <t>м</t>
  </si>
  <si>
    <t>Работы</t>
  </si>
  <si>
    <t>Данный скрипт позволяет суммировать комплектующие</t>
  </si>
  <si>
    <t>Для работы требуется очистить данные на листе "Спецификация"</t>
  </si>
  <si>
    <t>Ед. измерения</t>
  </si>
  <si>
    <t>Количество на заказ</t>
  </si>
  <si>
    <t>Цена с НДС 20%, руб</t>
  </si>
  <si>
    <t>Наличие и срок поставки</t>
  </si>
  <si>
    <t>После нажать на кнопку "Суммировать комплектующие" для того чтобы получить итоговый рассчет на листе "Accessories"</t>
  </si>
  <si>
    <t>Вставить свои значения по шаблону</t>
  </si>
  <si>
    <t>Какой-то текст</t>
  </si>
  <si>
    <t>АБВ-00 (000/0)</t>
  </si>
  <si>
    <t>00-00000001</t>
  </si>
  <si>
    <t>00-00000003</t>
  </si>
  <si>
    <t>00-00000005</t>
  </si>
  <si>
    <t>00-00000004</t>
  </si>
  <si>
    <t>00-00000002</t>
  </si>
  <si>
    <t>00-00000006</t>
  </si>
  <si>
    <t>00-00000007</t>
  </si>
  <si>
    <t>00-00000008</t>
  </si>
  <si>
    <t>00-00000009</t>
  </si>
  <si>
    <t>00-00000010</t>
  </si>
  <si>
    <t>00-00000011</t>
  </si>
  <si>
    <t>00-00000012</t>
  </si>
  <si>
    <t>АБ (1.2 34А)</t>
  </si>
  <si>
    <t>Арракача</t>
  </si>
  <si>
    <t>Артишок</t>
  </si>
  <si>
    <t>Ассорти Бондюэль из сладкого перца</t>
  </si>
  <si>
    <t>Ассорти Бондюэль из фасоли с ананасами в соусе Карри</t>
  </si>
  <si>
    <t>Ассорти Бондюэль из цветной капусты, романеско и брокколи</t>
  </si>
  <si>
    <t>Ассорти МеленЪ Кабачки Черри Огурцы маринованные</t>
  </si>
  <si>
    <t>Ассорти МеленЪ Патиссоны Черри Огурцы маринованные</t>
  </si>
  <si>
    <t>Баклажан</t>
  </si>
  <si>
    <t>Баклажан белый</t>
  </si>
  <si>
    <t>Баклажан замороженный</t>
  </si>
  <si>
    <t>Баклажан консервированный</t>
  </si>
  <si>
    <t>Баклажанная икра консервированная</t>
  </si>
  <si>
    <t>Баклажанная икра свежая</t>
  </si>
  <si>
    <t>Баклажаны 4 сезона запечённые порционные</t>
  </si>
  <si>
    <t>Баклажаны 4 сезона нарезанные</t>
  </si>
  <si>
    <t>Бамбук листья</t>
  </si>
  <si>
    <t>Бамбук побеги вареные</t>
  </si>
  <si>
    <t>Бамбук побеги консервированные</t>
  </si>
  <si>
    <t>Бамбук побеги сырые</t>
  </si>
  <si>
    <t>Бамия</t>
  </si>
  <si>
    <t>Бамия 4 сезона</t>
  </si>
  <si>
    <t>Бедренец камнеломка</t>
  </si>
  <si>
    <t>Бессмертник</t>
  </si>
  <si>
    <t>Бобы</t>
  </si>
  <si>
    <t>Бобы зелёные</t>
  </si>
  <si>
    <t>Брюква</t>
  </si>
  <si>
    <t>Брюква запечённая</t>
  </si>
  <si>
    <t>Брюква тушеная</t>
  </si>
  <si>
    <t>Вигна</t>
  </si>
  <si>
    <t>Горох варёный</t>
  </si>
  <si>
    <t>Горох лущеный</t>
  </si>
  <si>
    <t>Горох маш</t>
  </si>
  <si>
    <t>Горох маш (ростки)</t>
  </si>
  <si>
    <t>Горох сушёный</t>
  </si>
  <si>
    <t>Горошек зелёный</t>
  </si>
  <si>
    <t>Горошек зелёный 4 сезона</t>
  </si>
  <si>
    <t>Горошек зелёный 6 соток</t>
  </si>
  <si>
    <t>Горошек зелёный Globus</t>
  </si>
  <si>
    <t>Горошек зелёный Hortex</t>
  </si>
  <si>
    <t>Горошек зелёный Бондюэль замороженный</t>
  </si>
  <si>
    <t>Горошек зелёный Бондюэль Нежный</t>
  </si>
  <si>
    <t>Горошек зелёный Бондюэль с молодой морковью</t>
  </si>
  <si>
    <t>Горошек зелёный Бондюэль с морковью в кубиках</t>
  </si>
  <si>
    <t>Горошек зелёный замороженный</t>
  </si>
  <si>
    <t>Горошек зелёный Каждый день замороженный</t>
  </si>
  <si>
    <t>Горошек зелёный консервированный</t>
  </si>
  <si>
    <t>Горошек зелёный стручковый</t>
  </si>
  <si>
    <t>Гулявник лекарственный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</si>
</sst>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1" fillId="0" borderId="3" xfId="0" applyFont="1" applyBorder="1"/>
    <xf numFmtId="0" fontId="0" fillId="2" borderId="1" xfId="0" applyFill="1" applyBorder="1"/>
    <xf numFmtId="0" fontId="0" fillId="0" borderId="1" xfId="0" applyBorder="1"/>
    <xf numFmtId="1" fontId="0" fillId="2" borderId="1" xfId="0" applyNumberFormat="1" applyFill="1" applyBorder="1"/>
    <xf numFmtId="4" fontId="0" fillId="0" borderId="1" xfId="0" applyNumberFormat="1" applyBorder="1"/>
    <xf numFmtId="2" fontId="0" fillId="0" borderId="1" xfId="0" applyNumberFormat="1" applyBorder="1"/>
    <xf numFmtId="1" fontId="0" fillId="0" borderId="1" xfId="0" applyNumberFormat="1" applyBorder="1"/>
    <xf numFmtId="1" fontId="0" fillId="0" borderId="0" xfId="0" applyNumberFormat="1"/>
    <xf numFmtId="49" fontId="0" fillId="0" borderId="0" xfId="0" applyNumberFormat="1"/>
    <xf numFmtId="49" fontId="0" fillId="0" borderId="2" xfId="0" applyNumberFormat="1" applyBorder="1" applyAlignment="1">
      <alignment horizontal="left" vertical="center" wrapText="1"/>
    </xf>
    <xf numFmtId="49" fontId="0" fillId="0" borderId="1" xfId="0" applyNumberFormat="1" applyBorder="1"/>
    <xf numFmtId="0" fontId="0" fillId="0" borderId="3" xfId="0" applyBorder="1"/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1" fillId="2" borderId="1" xfId="0" applyFont="1" applyFill="1" applyBorder="1"/>
  </cellXfs>
  <cellStyles count="2">
    <cellStyle name="Обычный" xfId="0" builtinId="0"/>
    <cellStyle name="Обычный 2" xfId="1" xr:uid="{69D331B9-230B-4716-9D75-D445DD324B1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603250</xdr:colOff>
          <xdr:row>8</xdr:row>
          <xdr:rowOff>6350</xdr:rowOff>
        </xdr:from>
        <xdr:to>
          <xdr:col>3</xdr:col>
          <xdr:colOff>215900</xdr:colOff>
          <xdr:row>10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Сумировать комплекующие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6</xdr:col>
          <xdr:colOff>222250</xdr:colOff>
          <xdr:row>10</xdr:row>
          <xdr:rowOff>63500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3FD7-0E22-4FAE-87E3-B846C89C2C24}">
  <sheetPr codeName="Лист1"/>
  <dimension ref="A1:A4"/>
  <sheetViews>
    <sheetView workbookViewId="0">
      <selection activeCell="F17" sqref="F17"/>
    </sheetView>
  </sheetViews>
  <sheetFormatPr defaultRowHeight="14.5" x14ac:dyDescent="0.35"/>
  <sheetData>
    <row r="1" spans="1:1" x14ac:dyDescent="0.35">
      <c r="A1" t="s">
        <v>16</v>
      </c>
    </row>
    <row r="2" spans="1:1" x14ac:dyDescent="0.35">
      <c r="A2" t="s">
        <v>17</v>
      </c>
    </row>
    <row r="3" spans="1:1" x14ac:dyDescent="0.35">
      <c r="A3" t="s">
        <v>23</v>
      </c>
    </row>
    <row r="4" spans="1:1" x14ac:dyDescent="0.35">
      <c r="A4" t="s">
        <v>22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Accessories">
                <anchor moveWithCells="1">
                  <from>
                    <xdr:col>0</xdr:col>
                    <xdr:colOff>603250</xdr:colOff>
                    <xdr:row>8</xdr:row>
                    <xdr:rowOff>6350</xdr:rowOff>
                  </from>
                  <to>
                    <xdr:col>3</xdr:col>
                    <xdr:colOff>215900</xdr:colOff>
                    <xdr:row>10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Table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222250</xdr:colOff>
                    <xdr:row>10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0AD02-2900-428E-929D-19558CE46181}">
  <sheetPr codeName="Лист2"/>
  <dimension ref="A1:M62"/>
  <sheetViews>
    <sheetView topLeftCell="A45" zoomScale="90" zoomScaleNormal="90" workbookViewId="0">
      <selection activeCell="B10" sqref="B10"/>
    </sheetView>
  </sheetViews>
  <sheetFormatPr defaultRowHeight="14.5" x14ac:dyDescent="0.35"/>
  <cols>
    <col min="1" max="1" width="7.54296875" bestFit="1" customWidth="1"/>
    <col min="2" max="2" width="73.453125" customWidth="1"/>
    <col min="3" max="3" width="17.6328125" bestFit="1" customWidth="1"/>
    <col min="4" max="4" width="7.90625" bestFit="1" customWidth="1"/>
    <col min="5" max="5" width="6.81640625" bestFit="1" customWidth="1"/>
    <col min="6" max="6" width="5.90625" bestFit="1" customWidth="1"/>
    <col min="7" max="7" width="10.81640625" bestFit="1" customWidth="1"/>
    <col min="8" max="8" width="9.7265625" bestFit="1" customWidth="1"/>
    <col min="9" max="9" width="10.36328125" bestFit="1" customWidth="1"/>
    <col min="10" max="10" width="10" bestFit="1" customWidth="1"/>
    <col min="11" max="11" width="11" bestFit="1" customWidth="1"/>
    <col min="12" max="12" width="25.6328125" bestFit="1" customWidth="1"/>
    <col min="13" max="13" width="13.36328125" bestFit="1" customWidth="1"/>
  </cols>
  <sheetData>
    <row r="1" spans="1:13" x14ac:dyDescent="0.35">
      <c r="A1" t="s">
        <v>0</v>
      </c>
      <c r="C1" s="11"/>
      <c r="D1" s="11"/>
    </row>
    <row r="2" spans="1:13" ht="58" x14ac:dyDescent="0.35">
      <c r="A2" s="1" t="s">
        <v>1</v>
      </c>
      <c r="B2" s="2" t="s">
        <v>2</v>
      </c>
      <c r="C2" s="12" t="s">
        <v>3</v>
      </c>
      <c r="D2" s="12" t="s">
        <v>4</v>
      </c>
      <c r="E2" s="2" t="s">
        <v>5</v>
      </c>
      <c r="F2" s="2"/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</row>
    <row r="3" spans="1:13" x14ac:dyDescent="0.35">
      <c r="A3" s="3">
        <v>1</v>
      </c>
      <c r="B3" s="3" t="s">
        <v>38</v>
      </c>
      <c r="C3" s="13"/>
      <c r="D3" s="13"/>
      <c r="E3" s="4">
        <v>2</v>
      </c>
      <c r="F3" s="5"/>
      <c r="G3" s="5"/>
      <c r="H3" s="5"/>
      <c r="I3" s="5"/>
      <c r="J3" s="6">
        <f>J28</f>
        <v>5518.6149999999989</v>
      </c>
      <c r="K3" s="5"/>
      <c r="L3" s="5"/>
      <c r="M3" s="5"/>
    </row>
    <row r="4" spans="1:13" x14ac:dyDescent="0.35">
      <c r="A4" s="5"/>
      <c r="B4" s="14" t="s">
        <v>39</v>
      </c>
      <c r="C4" s="13" t="s">
        <v>26</v>
      </c>
      <c r="D4" s="13" t="s">
        <v>13</v>
      </c>
      <c r="E4" s="5">
        <v>1</v>
      </c>
      <c r="F4" s="5">
        <f>E4*$E$3</f>
        <v>2</v>
      </c>
      <c r="G4" s="7">
        <v>201.01</v>
      </c>
      <c r="H4" s="7">
        <f>G4/1.2</f>
        <v>167.50833333333333</v>
      </c>
      <c r="I4" s="8">
        <f t="shared" ref="I4:I28" si="0">H4*E4</f>
        <v>167.50833333333333</v>
      </c>
      <c r="J4" s="5"/>
      <c r="K4" s="5"/>
      <c r="L4" s="5"/>
      <c r="M4" s="5"/>
    </row>
    <row r="5" spans="1:13" x14ac:dyDescent="0.35">
      <c r="A5" s="5"/>
      <c r="B5" s="14" t="s">
        <v>40</v>
      </c>
      <c r="C5" s="13" t="s">
        <v>30</v>
      </c>
      <c r="D5" s="13" t="s">
        <v>13</v>
      </c>
      <c r="E5" s="5">
        <v>1</v>
      </c>
      <c r="F5" s="5">
        <f t="shared" ref="F5:F28" si="1">E5*$E$3</f>
        <v>2</v>
      </c>
      <c r="G5" s="7">
        <v>202.02</v>
      </c>
      <c r="H5" s="7">
        <f t="shared" ref="H5:H27" si="2">G5/1.2</f>
        <v>168.35000000000002</v>
      </c>
      <c r="I5" s="8">
        <f t="shared" si="0"/>
        <v>168.35000000000002</v>
      </c>
      <c r="J5" s="5"/>
      <c r="K5" s="5"/>
      <c r="L5" s="5"/>
      <c r="M5" s="5"/>
    </row>
    <row r="6" spans="1:13" x14ac:dyDescent="0.35">
      <c r="A6" s="5"/>
      <c r="B6" s="14" t="s">
        <v>41</v>
      </c>
      <c r="C6" s="13" t="s">
        <v>27</v>
      </c>
      <c r="D6" s="13" t="s">
        <v>13</v>
      </c>
      <c r="E6" s="5">
        <v>1</v>
      </c>
      <c r="F6" s="5">
        <f t="shared" si="1"/>
        <v>2</v>
      </c>
      <c r="G6" s="7">
        <v>203.03</v>
      </c>
      <c r="H6" s="7">
        <f t="shared" si="2"/>
        <v>169.19166666666666</v>
      </c>
      <c r="I6" s="8">
        <f t="shared" si="0"/>
        <v>169.19166666666666</v>
      </c>
      <c r="J6" s="5"/>
      <c r="K6" s="5"/>
      <c r="L6" s="5"/>
      <c r="M6" s="5"/>
    </row>
    <row r="7" spans="1:13" x14ac:dyDescent="0.35">
      <c r="A7" s="5"/>
      <c r="B7" s="14" t="s">
        <v>42</v>
      </c>
      <c r="C7" s="13" t="s">
        <v>29</v>
      </c>
      <c r="D7" s="13" t="s">
        <v>13</v>
      </c>
      <c r="E7" s="5">
        <v>1</v>
      </c>
      <c r="F7" s="5">
        <f t="shared" si="1"/>
        <v>2</v>
      </c>
      <c r="G7" s="7">
        <v>204.04</v>
      </c>
      <c r="H7" s="7">
        <f t="shared" si="2"/>
        <v>170.03333333333333</v>
      </c>
      <c r="I7" s="8">
        <f t="shared" si="0"/>
        <v>170.03333333333333</v>
      </c>
      <c r="J7" s="5"/>
      <c r="K7" s="5"/>
      <c r="L7" s="5"/>
      <c r="M7" s="5"/>
    </row>
    <row r="8" spans="1:13" x14ac:dyDescent="0.35">
      <c r="A8" s="5"/>
      <c r="B8" s="14" t="s">
        <v>43</v>
      </c>
      <c r="C8" s="13" t="s">
        <v>28</v>
      </c>
      <c r="D8" s="13" t="s">
        <v>13</v>
      </c>
      <c r="E8" s="5">
        <v>1</v>
      </c>
      <c r="F8" s="5">
        <f t="shared" si="1"/>
        <v>2</v>
      </c>
      <c r="G8" s="7">
        <v>205.05</v>
      </c>
      <c r="H8" s="7">
        <f t="shared" si="2"/>
        <v>170.87500000000003</v>
      </c>
      <c r="I8" s="8">
        <f t="shared" si="0"/>
        <v>170.87500000000003</v>
      </c>
      <c r="J8" s="5"/>
      <c r="K8" s="5"/>
      <c r="L8" s="5"/>
      <c r="M8" s="5"/>
    </row>
    <row r="9" spans="1:13" x14ac:dyDescent="0.35">
      <c r="A9" s="5"/>
      <c r="B9" s="15" t="s">
        <v>44</v>
      </c>
      <c r="C9" s="13" t="s">
        <v>31</v>
      </c>
      <c r="D9" s="13" t="s">
        <v>13</v>
      </c>
      <c r="E9" s="5">
        <v>1</v>
      </c>
      <c r="F9" s="5">
        <f t="shared" si="1"/>
        <v>2</v>
      </c>
      <c r="G9" s="7">
        <v>206.06</v>
      </c>
      <c r="H9" s="7">
        <f t="shared" si="2"/>
        <v>171.71666666666667</v>
      </c>
      <c r="I9" s="8">
        <f t="shared" si="0"/>
        <v>171.71666666666667</v>
      </c>
      <c r="J9" s="5"/>
      <c r="K9" s="5"/>
      <c r="L9" s="5"/>
      <c r="M9" s="5"/>
    </row>
    <row r="10" spans="1:13" x14ac:dyDescent="0.35">
      <c r="A10" s="5"/>
      <c r="B10" s="14" t="s">
        <v>45</v>
      </c>
      <c r="C10" s="13" t="s">
        <v>32</v>
      </c>
      <c r="D10" s="13" t="s">
        <v>13</v>
      </c>
      <c r="E10" s="5">
        <v>1</v>
      </c>
      <c r="F10" s="5">
        <f t="shared" si="1"/>
        <v>2</v>
      </c>
      <c r="G10" s="7">
        <v>207.07</v>
      </c>
      <c r="H10" s="7">
        <f t="shared" si="2"/>
        <v>172.55833333333334</v>
      </c>
      <c r="I10" s="8">
        <f t="shared" si="0"/>
        <v>172.55833333333334</v>
      </c>
      <c r="J10" s="5"/>
      <c r="K10" s="5"/>
      <c r="L10" s="5"/>
      <c r="M10" s="5"/>
    </row>
    <row r="11" spans="1:13" x14ac:dyDescent="0.35">
      <c r="A11" s="5"/>
      <c r="B11" s="14" t="s">
        <v>46</v>
      </c>
      <c r="C11" s="13" t="s">
        <v>33</v>
      </c>
      <c r="D11" s="13" t="s">
        <v>13</v>
      </c>
      <c r="E11" s="5">
        <v>2</v>
      </c>
      <c r="F11" s="5">
        <f t="shared" si="1"/>
        <v>4</v>
      </c>
      <c r="G11" s="7">
        <v>208.08</v>
      </c>
      <c r="H11" s="7">
        <f t="shared" si="2"/>
        <v>173.4</v>
      </c>
      <c r="I11" s="8">
        <f t="shared" si="0"/>
        <v>346.8</v>
      </c>
      <c r="J11" s="5"/>
      <c r="K11" s="5"/>
      <c r="L11" s="5"/>
      <c r="M11" s="5"/>
    </row>
    <row r="12" spans="1:13" x14ac:dyDescent="0.35">
      <c r="A12" s="5"/>
      <c r="B12" s="14" t="s">
        <v>47</v>
      </c>
      <c r="C12" s="13" t="s">
        <v>34</v>
      </c>
      <c r="D12" s="13" t="s">
        <v>14</v>
      </c>
      <c r="E12" s="5">
        <v>1</v>
      </c>
      <c r="F12" s="5">
        <f t="shared" si="1"/>
        <v>2</v>
      </c>
      <c r="G12" s="7">
        <v>209.09</v>
      </c>
      <c r="H12" s="7">
        <f t="shared" si="2"/>
        <v>174.24166666666667</v>
      </c>
      <c r="I12" s="8">
        <f t="shared" si="0"/>
        <v>174.24166666666667</v>
      </c>
      <c r="J12" s="5"/>
      <c r="K12" s="5"/>
      <c r="L12" s="5"/>
      <c r="M12" s="5"/>
    </row>
    <row r="13" spans="1:13" x14ac:dyDescent="0.35">
      <c r="A13" s="5"/>
      <c r="B13" s="14" t="s">
        <v>48</v>
      </c>
      <c r="C13" s="13" t="s">
        <v>35</v>
      </c>
      <c r="D13" s="13" t="s">
        <v>14</v>
      </c>
      <c r="E13" s="5">
        <v>0.3</v>
      </c>
      <c r="F13" s="5">
        <f t="shared" si="1"/>
        <v>0.6</v>
      </c>
      <c r="G13" s="7">
        <v>210.1</v>
      </c>
      <c r="H13" s="7">
        <f t="shared" si="2"/>
        <v>175.08333333333334</v>
      </c>
      <c r="I13" s="8">
        <f t="shared" si="0"/>
        <v>52.524999999999999</v>
      </c>
      <c r="J13" s="5"/>
      <c r="K13" s="5"/>
      <c r="L13" s="5"/>
      <c r="M13" s="5"/>
    </row>
    <row r="14" spans="1:13" x14ac:dyDescent="0.35">
      <c r="A14" s="5"/>
      <c r="B14" s="14" t="s">
        <v>49</v>
      </c>
      <c r="C14" s="13" t="s">
        <v>36</v>
      </c>
      <c r="D14" s="13" t="s">
        <v>13</v>
      </c>
      <c r="E14" s="5">
        <v>1</v>
      </c>
      <c r="F14" s="5">
        <f t="shared" si="1"/>
        <v>2</v>
      </c>
      <c r="G14" s="7">
        <v>211.11</v>
      </c>
      <c r="H14" s="7">
        <f t="shared" si="2"/>
        <v>175.92500000000001</v>
      </c>
      <c r="I14" s="8">
        <f t="shared" si="0"/>
        <v>175.92500000000001</v>
      </c>
      <c r="J14" s="5"/>
      <c r="K14" s="5"/>
      <c r="L14" s="5"/>
      <c r="M14" s="5"/>
    </row>
    <row r="15" spans="1:13" x14ac:dyDescent="0.35">
      <c r="A15" s="5"/>
      <c r="B15" s="14" t="s">
        <v>50</v>
      </c>
      <c r="C15" s="13" t="s">
        <v>37</v>
      </c>
      <c r="D15" s="13" t="s">
        <v>13</v>
      </c>
      <c r="E15" s="5">
        <v>1</v>
      </c>
      <c r="F15" s="5">
        <f t="shared" si="1"/>
        <v>2</v>
      </c>
      <c r="G15" s="7">
        <v>212.12</v>
      </c>
      <c r="H15" s="7">
        <f t="shared" si="2"/>
        <v>176.76666666666668</v>
      </c>
      <c r="I15" s="8">
        <f t="shared" si="0"/>
        <v>176.76666666666668</v>
      </c>
      <c r="J15" s="5"/>
      <c r="K15" s="5"/>
      <c r="L15" s="5"/>
      <c r="M15" s="5"/>
    </row>
    <row r="16" spans="1:13" x14ac:dyDescent="0.35">
      <c r="A16" s="5"/>
      <c r="B16" s="14" t="s">
        <v>51</v>
      </c>
      <c r="C16" s="13"/>
      <c r="D16" s="13" t="s">
        <v>13</v>
      </c>
      <c r="E16" s="5">
        <v>3</v>
      </c>
      <c r="F16" s="5">
        <f t="shared" si="1"/>
        <v>6</v>
      </c>
      <c r="G16" s="7">
        <v>213.13</v>
      </c>
      <c r="H16" s="7">
        <f t="shared" si="2"/>
        <v>177.60833333333335</v>
      </c>
      <c r="I16" s="8">
        <f t="shared" si="0"/>
        <v>532.82500000000005</v>
      </c>
      <c r="J16" s="5"/>
      <c r="K16" s="5"/>
      <c r="L16" s="5"/>
      <c r="M16" s="5"/>
    </row>
    <row r="17" spans="1:13" x14ac:dyDescent="0.35">
      <c r="A17" s="5"/>
      <c r="B17" s="14" t="s">
        <v>52</v>
      </c>
      <c r="C17" s="13"/>
      <c r="D17" s="13" t="s">
        <v>13</v>
      </c>
      <c r="E17" s="5">
        <v>5</v>
      </c>
      <c r="F17" s="5">
        <f t="shared" si="1"/>
        <v>10</v>
      </c>
      <c r="G17" s="7">
        <v>214.14</v>
      </c>
      <c r="H17" s="7">
        <f t="shared" si="2"/>
        <v>178.45</v>
      </c>
      <c r="I17" s="8">
        <f t="shared" si="0"/>
        <v>892.25</v>
      </c>
      <c r="J17" s="5"/>
      <c r="K17" s="5"/>
      <c r="L17" s="5"/>
      <c r="M17" s="5"/>
    </row>
    <row r="18" spans="1:13" x14ac:dyDescent="0.35">
      <c r="A18" s="5"/>
      <c r="B18" s="14" t="s">
        <v>53</v>
      </c>
      <c r="C18" s="13"/>
      <c r="D18" s="13" t="s">
        <v>13</v>
      </c>
      <c r="E18" s="5">
        <v>4</v>
      </c>
      <c r="F18" s="5">
        <f t="shared" si="1"/>
        <v>8</v>
      </c>
      <c r="G18" s="7">
        <v>215.15</v>
      </c>
      <c r="H18" s="7">
        <f t="shared" si="2"/>
        <v>179.29166666666669</v>
      </c>
      <c r="I18" s="8">
        <f t="shared" si="0"/>
        <v>717.16666666666674</v>
      </c>
      <c r="J18" s="5"/>
      <c r="K18" s="5"/>
      <c r="L18" s="5"/>
      <c r="M18" s="5"/>
    </row>
    <row r="19" spans="1:13" x14ac:dyDescent="0.35">
      <c r="A19" s="5"/>
      <c r="B19" s="14" t="s">
        <v>54</v>
      </c>
      <c r="C19" s="13"/>
      <c r="D19" s="13" t="s">
        <v>13</v>
      </c>
      <c r="E19" s="5">
        <v>0.01</v>
      </c>
      <c r="F19" s="5">
        <f t="shared" si="1"/>
        <v>0.02</v>
      </c>
      <c r="G19" s="7">
        <v>101.1</v>
      </c>
      <c r="H19" s="7">
        <f t="shared" si="2"/>
        <v>84.25</v>
      </c>
      <c r="I19" s="8">
        <f t="shared" si="0"/>
        <v>0.84250000000000003</v>
      </c>
      <c r="J19" s="5"/>
      <c r="K19" s="5"/>
      <c r="L19" s="5"/>
      <c r="M19" s="5"/>
    </row>
    <row r="20" spans="1:13" x14ac:dyDescent="0.35">
      <c r="A20" s="5"/>
      <c r="B20" s="14" t="s">
        <v>55</v>
      </c>
      <c r="C20" s="13"/>
      <c r="D20" s="13" t="s">
        <v>13</v>
      </c>
      <c r="E20" s="5">
        <v>0.02</v>
      </c>
      <c r="F20" s="5">
        <f t="shared" si="1"/>
        <v>0.04</v>
      </c>
      <c r="G20" s="7">
        <v>102.2</v>
      </c>
      <c r="H20" s="7">
        <f t="shared" si="2"/>
        <v>85.166666666666671</v>
      </c>
      <c r="I20" s="8">
        <f t="shared" si="0"/>
        <v>1.7033333333333334</v>
      </c>
      <c r="J20" s="5"/>
      <c r="K20" s="5"/>
      <c r="L20" s="5"/>
      <c r="M20" s="5"/>
    </row>
    <row r="21" spans="1:13" x14ac:dyDescent="0.35">
      <c r="A21" s="5"/>
      <c r="B21" s="14" t="s">
        <v>56</v>
      </c>
      <c r="C21" s="13"/>
      <c r="D21" s="13" t="s">
        <v>13</v>
      </c>
      <c r="E21" s="5">
        <v>0.03</v>
      </c>
      <c r="F21" s="5">
        <f t="shared" si="1"/>
        <v>0.06</v>
      </c>
      <c r="G21" s="7">
        <v>103.3</v>
      </c>
      <c r="H21" s="7">
        <f t="shared" si="2"/>
        <v>86.083333333333329</v>
      </c>
      <c r="I21" s="8">
        <f t="shared" si="0"/>
        <v>2.5824999999999996</v>
      </c>
      <c r="J21" s="5"/>
      <c r="K21" s="5"/>
      <c r="L21" s="5"/>
      <c r="M21" s="5"/>
    </row>
    <row r="22" spans="1:13" x14ac:dyDescent="0.35">
      <c r="A22" s="5"/>
      <c r="B22" s="14" t="s">
        <v>57</v>
      </c>
      <c r="C22" s="13"/>
      <c r="D22" s="13" t="s">
        <v>13</v>
      </c>
      <c r="E22" s="5">
        <v>0.04</v>
      </c>
      <c r="F22" s="5">
        <f t="shared" si="1"/>
        <v>0.08</v>
      </c>
      <c r="G22" s="7">
        <v>104.4</v>
      </c>
      <c r="H22" s="7">
        <f t="shared" si="2"/>
        <v>87.000000000000014</v>
      </c>
      <c r="I22" s="8">
        <f t="shared" si="0"/>
        <v>3.4800000000000004</v>
      </c>
      <c r="J22" s="5"/>
      <c r="K22" s="5"/>
      <c r="L22" s="5"/>
      <c r="M22" s="5"/>
    </row>
    <row r="23" spans="1:13" x14ac:dyDescent="0.35">
      <c r="A23" s="5"/>
      <c r="B23" s="14" t="s">
        <v>58</v>
      </c>
      <c r="C23" s="13"/>
      <c r="D23" s="13" t="s">
        <v>13</v>
      </c>
      <c r="E23" s="5">
        <v>0.05</v>
      </c>
      <c r="F23" s="5">
        <f t="shared" si="1"/>
        <v>0.1</v>
      </c>
      <c r="G23" s="7">
        <v>105.5</v>
      </c>
      <c r="H23" s="7">
        <f t="shared" si="2"/>
        <v>87.916666666666671</v>
      </c>
      <c r="I23" s="8">
        <f t="shared" si="0"/>
        <v>4.3958333333333339</v>
      </c>
      <c r="J23" s="5"/>
      <c r="K23" s="5"/>
      <c r="L23" s="5"/>
      <c r="M23" s="5"/>
    </row>
    <row r="24" spans="1:13" x14ac:dyDescent="0.35">
      <c r="A24" s="5"/>
      <c r="B24" s="14" t="s">
        <v>59</v>
      </c>
      <c r="C24" s="13"/>
      <c r="D24" s="13" t="s">
        <v>13</v>
      </c>
      <c r="E24" s="5">
        <v>0.06</v>
      </c>
      <c r="F24" s="5">
        <f t="shared" si="1"/>
        <v>0.12</v>
      </c>
      <c r="G24" s="7">
        <v>106.6</v>
      </c>
      <c r="H24" s="7">
        <f t="shared" si="2"/>
        <v>88.833333333333329</v>
      </c>
      <c r="I24" s="8">
        <f t="shared" si="0"/>
        <v>5.3299999999999992</v>
      </c>
      <c r="J24" s="5"/>
      <c r="K24" s="5"/>
      <c r="L24" s="5"/>
      <c r="M24" s="5"/>
    </row>
    <row r="25" spans="1:13" x14ac:dyDescent="0.35">
      <c r="A25" s="5"/>
      <c r="B25" s="14" t="s">
        <v>60</v>
      </c>
      <c r="C25" s="13"/>
      <c r="D25" s="13" t="s">
        <v>13</v>
      </c>
      <c r="E25" s="5">
        <v>7.0000000000000007E-2</v>
      </c>
      <c r="F25" s="5">
        <f t="shared" si="1"/>
        <v>0.14000000000000001</v>
      </c>
      <c r="G25" s="7">
        <v>107.7</v>
      </c>
      <c r="H25" s="7">
        <f t="shared" si="2"/>
        <v>89.75</v>
      </c>
      <c r="I25" s="8">
        <f t="shared" si="0"/>
        <v>6.2825000000000006</v>
      </c>
      <c r="J25" s="5"/>
      <c r="K25" s="5"/>
      <c r="L25" s="5"/>
      <c r="M25" s="5"/>
    </row>
    <row r="26" spans="1:13" x14ac:dyDescent="0.35">
      <c r="A26" s="5"/>
      <c r="B26" s="14" t="s">
        <v>61</v>
      </c>
      <c r="C26" s="13"/>
      <c r="D26" s="13" t="s">
        <v>13</v>
      </c>
      <c r="E26" s="5">
        <v>0.08</v>
      </c>
      <c r="F26" s="5">
        <f t="shared" si="1"/>
        <v>0.16</v>
      </c>
      <c r="G26" s="7">
        <v>108.8</v>
      </c>
      <c r="H26" s="7">
        <f t="shared" si="2"/>
        <v>90.666666666666671</v>
      </c>
      <c r="I26" s="8">
        <f t="shared" si="0"/>
        <v>7.2533333333333339</v>
      </c>
      <c r="J26" s="5"/>
      <c r="K26" s="5"/>
      <c r="L26" s="5"/>
      <c r="M26" s="5"/>
    </row>
    <row r="27" spans="1:13" x14ac:dyDescent="0.35">
      <c r="A27" s="5"/>
      <c r="B27" s="14" t="s">
        <v>62</v>
      </c>
      <c r="C27" s="13"/>
      <c r="D27" s="13" t="s">
        <v>13</v>
      </c>
      <c r="E27" s="5">
        <v>0.09</v>
      </c>
      <c r="F27" s="5">
        <f t="shared" si="1"/>
        <v>0.18</v>
      </c>
      <c r="G27" s="7">
        <v>109.9</v>
      </c>
      <c r="H27" s="7">
        <f t="shared" si="2"/>
        <v>91.583333333333343</v>
      </c>
      <c r="I27" s="8">
        <f t="shared" si="0"/>
        <v>8.2424999999999997</v>
      </c>
      <c r="J27" s="5"/>
      <c r="K27" s="5"/>
      <c r="L27" s="5"/>
      <c r="M27" s="5"/>
    </row>
    <row r="28" spans="1:13" x14ac:dyDescent="0.35">
      <c r="A28" s="9"/>
      <c r="B28" s="5" t="s">
        <v>15</v>
      </c>
      <c r="C28" s="13"/>
      <c r="D28" s="13" t="s">
        <v>13</v>
      </c>
      <c r="E28" s="5">
        <v>1</v>
      </c>
      <c r="F28" s="5">
        <f t="shared" si="1"/>
        <v>2</v>
      </c>
      <c r="G28" s="7"/>
      <c r="H28" s="7">
        <v>300</v>
      </c>
      <c r="I28" s="8">
        <f t="shared" si="0"/>
        <v>300</v>
      </c>
      <c r="J28" s="9">
        <f>(SUM(I4:I28))*1.2</f>
        <v>5518.6149999999989</v>
      </c>
      <c r="K28" s="5">
        <f>J28*E3</f>
        <v>11037.229999999998</v>
      </c>
      <c r="L28" s="5"/>
      <c r="M28" s="5"/>
    </row>
    <row r="29" spans="1:13" x14ac:dyDescent="0.35">
      <c r="A29" s="10"/>
      <c r="C29" s="11"/>
      <c r="D29" s="11"/>
    </row>
    <row r="30" spans="1:13" x14ac:dyDescent="0.35">
      <c r="A30" s="3">
        <v>2</v>
      </c>
      <c r="B30" s="3" t="s">
        <v>38</v>
      </c>
      <c r="C30" s="13"/>
      <c r="D30" s="13"/>
      <c r="E30" s="4">
        <v>2</v>
      </c>
      <c r="F30" s="5"/>
      <c r="G30" s="5"/>
      <c r="H30" s="5"/>
      <c r="I30" s="5"/>
      <c r="J30" s="6">
        <f>J55</f>
        <v>5518.6149999999989</v>
      </c>
      <c r="K30" s="5"/>
      <c r="L30" s="5"/>
      <c r="M30" s="5"/>
    </row>
    <row r="31" spans="1:13" x14ac:dyDescent="0.35">
      <c r="A31" s="5"/>
      <c r="B31" s="14" t="s">
        <v>63</v>
      </c>
      <c r="C31" s="13" t="s">
        <v>26</v>
      </c>
      <c r="D31" s="13" t="s">
        <v>13</v>
      </c>
      <c r="E31" s="5">
        <v>1</v>
      </c>
      <c r="F31" s="5">
        <f>E31*$E$30</f>
        <v>2</v>
      </c>
      <c r="G31" s="7">
        <v>201.01</v>
      </c>
      <c r="H31" s="7">
        <f>G31/1.2</f>
        <v>167.50833333333333</v>
      </c>
      <c r="I31" s="8">
        <f t="shared" ref="I31:I55" si="3">H31*E31</f>
        <v>167.50833333333333</v>
      </c>
      <c r="J31" s="5"/>
      <c r="K31" s="5"/>
      <c r="L31" s="5"/>
      <c r="M31" s="5"/>
    </row>
    <row r="32" spans="1:13" x14ac:dyDescent="0.35">
      <c r="A32" s="5"/>
      <c r="B32" s="14" t="s">
        <v>64</v>
      </c>
      <c r="C32" s="13" t="s">
        <v>30</v>
      </c>
      <c r="D32" s="13" t="s">
        <v>13</v>
      </c>
      <c r="E32" s="5">
        <v>1</v>
      </c>
      <c r="F32" s="5">
        <f t="shared" ref="F32:F55" si="4">E32*$E$30</f>
        <v>2</v>
      </c>
      <c r="G32" s="7">
        <v>202.02</v>
      </c>
      <c r="H32" s="7">
        <f t="shared" ref="H32:H54" si="5">G32/1.2</f>
        <v>168.35000000000002</v>
      </c>
      <c r="I32" s="8">
        <f t="shared" si="3"/>
        <v>168.35000000000002</v>
      </c>
      <c r="J32" s="5"/>
      <c r="K32" s="5"/>
      <c r="L32" s="5"/>
      <c r="M32" s="5"/>
    </row>
    <row r="33" spans="1:13" x14ac:dyDescent="0.35">
      <c r="A33" s="5"/>
      <c r="B33" s="14" t="s">
        <v>65</v>
      </c>
      <c r="C33" s="13" t="s">
        <v>27</v>
      </c>
      <c r="D33" s="13" t="s">
        <v>13</v>
      </c>
      <c r="E33" s="5">
        <v>1</v>
      </c>
      <c r="F33" s="5">
        <f t="shared" si="4"/>
        <v>2</v>
      </c>
      <c r="G33" s="7">
        <v>203.03</v>
      </c>
      <c r="H33" s="7">
        <f t="shared" si="5"/>
        <v>169.19166666666666</v>
      </c>
      <c r="I33" s="8">
        <f t="shared" si="3"/>
        <v>169.19166666666666</v>
      </c>
      <c r="J33" s="5"/>
      <c r="K33" s="5"/>
      <c r="L33" s="5"/>
      <c r="M33" s="5"/>
    </row>
    <row r="34" spans="1:13" x14ac:dyDescent="0.35">
      <c r="A34" s="5"/>
      <c r="B34" s="14" t="s">
        <v>66</v>
      </c>
      <c r="C34" s="13" t="s">
        <v>29</v>
      </c>
      <c r="D34" s="13" t="s">
        <v>13</v>
      </c>
      <c r="E34" s="5">
        <v>1</v>
      </c>
      <c r="F34" s="5">
        <f t="shared" si="4"/>
        <v>2</v>
      </c>
      <c r="G34" s="7">
        <v>204.04</v>
      </c>
      <c r="H34" s="7">
        <f t="shared" si="5"/>
        <v>170.03333333333333</v>
      </c>
      <c r="I34" s="8">
        <f t="shared" si="3"/>
        <v>170.03333333333333</v>
      </c>
      <c r="J34" s="5"/>
      <c r="K34" s="5"/>
      <c r="L34" s="5"/>
      <c r="M34" s="5"/>
    </row>
    <row r="35" spans="1:13" x14ac:dyDescent="0.35">
      <c r="A35" s="5"/>
      <c r="B35" s="14" t="s">
        <v>67</v>
      </c>
      <c r="C35" s="13" t="s">
        <v>28</v>
      </c>
      <c r="D35" s="13" t="s">
        <v>13</v>
      </c>
      <c r="E35" s="5">
        <v>1</v>
      </c>
      <c r="F35" s="5">
        <f t="shared" si="4"/>
        <v>2</v>
      </c>
      <c r="G35" s="7">
        <v>205.05</v>
      </c>
      <c r="H35" s="7">
        <f t="shared" si="5"/>
        <v>170.87500000000003</v>
      </c>
      <c r="I35" s="8">
        <f t="shared" si="3"/>
        <v>170.87500000000003</v>
      </c>
      <c r="J35" s="5"/>
      <c r="K35" s="5"/>
      <c r="L35" s="5"/>
      <c r="M35" s="5"/>
    </row>
    <row r="36" spans="1:13" x14ac:dyDescent="0.35">
      <c r="A36" s="5"/>
      <c r="B36" s="15" t="s">
        <v>68</v>
      </c>
      <c r="C36" s="13" t="s">
        <v>31</v>
      </c>
      <c r="D36" s="13" t="s">
        <v>13</v>
      </c>
      <c r="E36" s="5">
        <v>1</v>
      </c>
      <c r="F36" s="5">
        <f t="shared" si="4"/>
        <v>2</v>
      </c>
      <c r="G36" s="7">
        <v>206.06</v>
      </c>
      <c r="H36" s="7">
        <f t="shared" si="5"/>
        <v>171.71666666666667</v>
      </c>
      <c r="I36" s="8">
        <f t="shared" si="3"/>
        <v>171.71666666666667</v>
      </c>
      <c r="J36" s="5"/>
      <c r="K36" s="5"/>
      <c r="L36" s="5"/>
      <c r="M36" s="5"/>
    </row>
    <row r="37" spans="1:13" x14ac:dyDescent="0.35">
      <c r="A37" s="5"/>
      <c r="B37" s="14" t="s">
        <v>69</v>
      </c>
      <c r="C37" s="13" t="s">
        <v>32</v>
      </c>
      <c r="D37" s="13" t="s">
        <v>13</v>
      </c>
      <c r="E37" s="5">
        <v>1</v>
      </c>
      <c r="F37" s="5">
        <f t="shared" si="4"/>
        <v>2</v>
      </c>
      <c r="G37" s="7">
        <v>207.07</v>
      </c>
      <c r="H37" s="7">
        <f t="shared" si="5"/>
        <v>172.55833333333334</v>
      </c>
      <c r="I37" s="8">
        <f t="shared" si="3"/>
        <v>172.55833333333334</v>
      </c>
      <c r="J37" s="5"/>
      <c r="K37" s="5"/>
      <c r="L37" s="5"/>
      <c r="M37" s="5"/>
    </row>
    <row r="38" spans="1:13" x14ac:dyDescent="0.35">
      <c r="A38" s="5"/>
      <c r="B38" s="14" t="s">
        <v>70</v>
      </c>
      <c r="C38" s="13" t="s">
        <v>33</v>
      </c>
      <c r="D38" s="13" t="s">
        <v>13</v>
      </c>
      <c r="E38" s="5">
        <v>2</v>
      </c>
      <c r="F38" s="5">
        <f t="shared" si="4"/>
        <v>4</v>
      </c>
      <c r="G38" s="7">
        <v>208.08</v>
      </c>
      <c r="H38" s="7">
        <f t="shared" si="5"/>
        <v>173.4</v>
      </c>
      <c r="I38" s="8">
        <f t="shared" si="3"/>
        <v>346.8</v>
      </c>
      <c r="J38" s="5"/>
      <c r="K38" s="5"/>
      <c r="L38" s="5"/>
      <c r="M38" s="5"/>
    </row>
    <row r="39" spans="1:13" x14ac:dyDescent="0.35">
      <c r="A39" s="5"/>
      <c r="B39" s="14" t="s">
        <v>71</v>
      </c>
      <c r="C39" s="13" t="s">
        <v>34</v>
      </c>
      <c r="D39" s="13" t="s">
        <v>14</v>
      </c>
      <c r="E39" s="5">
        <v>1</v>
      </c>
      <c r="F39" s="5">
        <f t="shared" si="4"/>
        <v>2</v>
      </c>
      <c r="G39" s="7">
        <v>209.09</v>
      </c>
      <c r="H39" s="7">
        <f t="shared" si="5"/>
        <v>174.24166666666667</v>
      </c>
      <c r="I39" s="8">
        <f t="shared" si="3"/>
        <v>174.24166666666667</v>
      </c>
      <c r="J39" s="5"/>
      <c r="K39" s="5"/>
      <c r="L39" s="5"/>
      <c r="M39" s="5"/>
    </row>
    <row r="40" spans="1:13" x14ac:dyDescent="0.35">
      <c r="A40" s="5"/>
      <c r="B40" s="14" t="s">
        <v>72</v>
      </c>
      <c r="C40" s="13" t="s">
        <v>35</v>
      </c>
      <c r="D40" s="13" t="s">
        <v>14</v>
      </c>
      <c r="E40" s="5">
        <v>0.3</v>
      </c>
      <c r="F40" s="5">
        <f t="shared" si="4"/>
        <v>0.6</v>
      </c>
      <c r="G40" s="7">
        <v>210.1</v>
      </c>
      <c r="H40" s="7">
        <f t="shared" si="5"/>
        <v>175.08333333333334</v>
      </c>
      <c r="I40" s="8">
        <f t="shared" si="3"/>
        <v>52.524999999999999</v>
      </c>
      <c r="J40" s="5"/>
      <c r="K40" s="5"/>
      <c r="L40" s="5"/>
      <c r="M40" s="5"/>
    </row>
    <row r="41" spans="1:13" x14ac:dyDescent="0.35">
      <c r="A41" s="5"/>
      <c r="B41" s="14" t="s">
        <v>73</v>
      </c>
      <c r="C41" s="13" t="s">
        <v>36</v>
      </c>
      <c r="D41" s="13" t="s">
        <v>13</v>
      </c>
      <c r="E41" s="5">
        <v>1</v>
      </c>
      <c r="F41" s="5">
        <f t="shared" si="4"/>
        <v>2</v>
      </c>
      <c r="G41" s="7">
        <v>211.11</v>
      </c>
      <c r="H41" s="7">
        <f t="shared" si="5"/>
        <v>175.92500000000001</v>
      </c>
      <c r="I41" s="8">
        <f t="shared" si="3"/>
        <v>175.92500000000001</v>
      </c>
      <c r="J41" s="5"/>
      <c r="K41" s="5"/>
      <c r="L41" s="5"/>
      <c r="M41" s="5"/>
    </row>
    <row r="42" spans="1:13" x14ac:dyDescent="0.35">
      <c r="A42" s="5"/>
      <c r="B42" s="14" t="s">
        <v>74</v>
      </c>
      <c r="C42" s="13" t="s">
        <v>37</v>
      </c>
      <c r="D42" s="13" t="s">
        <v>13</v>
      </c>
      <c r="E42" s="5">
        <v>1</v>
      </c>
      <c r="F42" s="5">
        <f t="shared" si="4"/>
        <v>2</v>
      </c>
      <c r="G42" s="7">
        <v>212.12</v>
      </c>
      <c r="H42" s="7">
        <f t="shared" si="5"/>
        <v>176.76666666666668</v>
      </c>
      <c r="I42" s="8">
        <f t="shared" si="3"/>
        <v>176.76666666666668</v>
      </c>
      <c r="J42" s="5"/>
      <c r="K42" s="5"/>
      <c r="L42" s="5"/>
      <c r="M42" s="5"/>
    </row>
    <row r="43" spans="1:13" x14ac:dyDescent="0.35">
      <c r="A43" s="5"/>
      <c r="B43" s="14" t="s">
        <v>75</v>
      </c>
      <c r="C43" s="13"/>
      <c r="D43" s="13" t="s">
        <v>13</v>
      </c>
      <c r="E43" s="5">
        <v>3</v>
      </c>
      <c r="F43" s="5">
        <f t="shared" si="4"/>
        <v>6</v>
      </c>
      <c r="G43" s="7">
        <v>213.13</v>
      </c>
      <c r="H43" s="7">
        <f t="shared" si="5"/>
        <v>177.60833333333335</v>
      </c>
      <c r="I43" s="8">
        <f t="shared" si="3"/>
        <v>532.82500000000005</v>
      </c>
      <c r="J43" s="5"/>
      <c r="K43" s="5"/>
      <c r="L43" s="5"/>
      <c r="M43" s="5"/>
    </row>
    <row r="44" spans="1:13" x14ac:dyDescent="0.35">
      <c r="A44" s="5"/>
      <c r="B44" s="14" t="s">
        <v>76</v>
      </c>
      <c r="C44" s="13"/>
      <c r="D44" s="13" t="s">
        <v>13</v>
      </c>
      <c r="E44" s="5">
        <v>5</v>
      </c>
      <c r="F44" s="5">
        <f t="shared" si="4"/>
        <v>10</v>
      </c>
      <c r="G44" s="7">
        <v>214.14</v>
      </c>
      <c r="H44" s="7">
        <f t="shared" si="5"/>
        <v>178.45</v>
      </c>
      <c r="I44" s="8">
        <f t="shared" si="3"/>
        <v>892.25</v>
      </c>
      <c r="J44" s="5"/>
      <c r="K44" s="5"/>
      <c r="L44" s="5"/>
      <c r="M44" s="5"/>
    </row>
    <row r="45" spans="1:13" x14ac:dyDescent="0.35">
      <c r="A45" s="5"/>
      <c r="B45" s="14" t="s">
        <v>77</v>
      </c>
      <c r="C45" s="13"/>
      <c r="D45" s="13" t="s">
        <v>13</v>
      </c>
      <c r="E45" s="5">
        <v>4</v>
      </c>
      <c r="F45" s="5">
        <f t="shared" si="4"/>
        <v>8</v>
      </c>
      <c r="G45" s="7">
        <v>215.15</v>
      </c>
      <c r="H45" s="7">
        <f t="shared" si="5"/>
        <v>179.29166666666669</v>
      </c>
      <c r="I45" s="8">
        <f t="shared" si="3"/>
        <v>717.16666666666674</v>
      </c>
      <c r="J45" s="5"/>
      <c r="K45" s="5"/>
      <c r="L45" s="5"/>
      <c r="M45" s="5"/>
    </row>
    <row r="46" spans="1:13" x14ac:dyDescent="0.35">
      <c r="A46" s="5"/>
      <c r="B46" s="14" t="s">
        <v>78</v>
      </c>
      <c r="C46" s="13"/>
      <c r="D46" s="13" t="s">
        <v>13</v>
      </c>
      <c r="E46" s="5">
        <v>0.01</v>
      </c>
      <c r="F46" s="5">
        <f t="shared" si="4"/>
        <v>0.02</v>
      </c>
      <c r="G46" s="7">
        <v>101.1</v>
      </c>
      <c r="H46" s="7">
        <f t="shared" si="5"/>
        <v>84.25</v>
      </c>
      <c r="I46" s="8">
        <f t="shared" si="3"/>
        <v>0.84250000000000003</v>
      </c>
      <c r="J46" s="5"/>
      <c r="K46" s="5"/>
      <c r="L46" s="5"/>
      <c r="M46" s="5"/>
    </row>
    <row r="47" spans="1:13" x14ac:dyDescent="0.35">
      <c r="A47" s="5"/>
      <c r="B47" s="14" t="s">
        <v>79</v>
      </c>
      <c r="C47" s="13"/>
      <c r="D47" s="13" t="s">
        <v>13</v>
      </c>
      <c r="E47" s="5">
        <v>0.02</v>
      </c>
      <c r="F47" s="5">
        <f t="shared" si="4"/>
        <v>0.04</v>
      </c>
      <c r="G47" s="7">
        <v>102.2</v>
      </c>
      <c r="H47" s="7">
        <f t="shared" si="5"/>
        <v>85.166666666666671</v>
      </c>
      <c r="I47" s="8">
        <f t="shared" si="3"/>
        <v>1.7033333333333334</v>
      </c>
      <c r="J47" s="5"/>
      <c r="K47" s="5"/>
      <c r="L47" s="5"/>
      <c r="M47" s="5"/>
    </row>
    <row r="48" spans="1:13" x14ac:dyDescent="0.35">
      <c r="A48" s="5"/>
      <c r="B48" s="14" t="s">
        <v>80</v>
      </c>
      <c r="C48" s="13"/>
      <c r="D48" s="13" t="s">
        <v>13</v>
      </c>
      <c r="E48" s="5">
        <v>0.03</v>
      </c>
      <c r="F48" s="5">
        <f t="shared" si="4"/>
        <v>0.06</v>
      </c>
      <c r="G48" s="7">
        <v>103.3</v>
      </c>
      <c r="H48" s="7">
        <f t="shared" si="5"/>
        <v>86.083333333333329</v>
      </c>
      <c r="I48" s="8">
        <f t="shared" si="3"/>
        <v>2.5824999999999996</v>
      </c>
      <c r="J48" s="5"/>
      <c r="K48" s="5"/>
      <c r="L48" s="5"/>
      <c r="M48" s="5"/>
    </row>
    <row r="49" spans="1:13" x14ac:dyDescent="0.35">
      <c r="A49" s="5"/>
      <c r="B49" s="14" t="s">
        <v>81</v>
      </c>
      <c r="C49" s="13"/>
      <c r="D49" s="13" t="s">
        <v>13</v>
      </c>
      <c r="E49" s="5">
        <v>0.04</v>
      </c>
      <c r="F49" s="5">
        <f t="shared" si="4"/>
        <v>0.08</v>
      </c>
      <c r="G49" s="7">
        <v>104.4</v>
      </c>
      <c r="H49" s="7">
        <f t="shared" si="5"/>
        <v>87.000000000000014</v>
      </c>
      <c r="I49" s="8">
        <f t="shared" si="3"/>
        <v>3.4800000000000004</v>
      </c>
      <c r="J49" s="5"/>
      <c r="K49" s="5"/>
      <c r="L49" s="5"/>
      <c r="M49" s="5"/>
    </row>
    <row r="50" spans="1:13" x14ac:dyDescent="0.35">
      <c r="A50" s="5"/>
      <c r="B50" s="14" t="s">
        <v>82</v>
      </c>
      <c r="C50" s="13"/>
      <c r="D50" s="13" t="s">
        <v>13</v>
      </c>
      <c r="E50" s="5">
        <v>0.05</v>
      </c>
      <c r="F50" s="5">
        <f t="shared" si="4"/>
        <v>0.1</v>
      </c>
      <c r="G50" s="7">
        <v>105.5</v>
      </c>
      <c r="H50" s="7">
        <f t="shared" si="5"/>
        <v>87.916666666666671</v>
      </c>
      <c r="I50" s="8">
        <f t="shared" si="3"/>
        <v>4.3958333333333339</v>
      </c>
      <c r="J50" s="5"/>
      <c r="K50" s="5"/>
      <c r="L50" s="5"/>
      <c r="M50" s="5"/>
    </row>
    <row r="51" spans="1:13" x14ac:dyDescent="0.35">
      <c r="A51" s="5"/>
      <c r="B51" s="14" t="s">
        <v>83</v>
      </c>
      <c r="C51" s="13"/>
      <c r="D51" s="13" t="s">
        <v>13</v>
      </c>
      <c r="E51" s="5">
        <v>0.06</v>
      </c>
      <c r="F51" s="5">
        <f t="shared" si="4"/>
        <v>0.12</v>
      </c>
      <c r="G51" s="7">
        <v>106.6</v>
      </c>
      <c r="H51" s="7">
        <f t="shared" si="5"/>
        <v>88.833333333333329</v>
      </c>
      <c r="I51" s="8">
        <f t="shared" si="3"/>
        <v>5.3299999999999992</v>
      </c>
      <c r="J51" s="5"/>
      <c r="K51" s="5"/>
      <c r="L51" s="5"/>
      <c r="M51" s="5"/>
    </row>
    <row r="52" spans="1:13" x14ac:dyDescent="0.35">
      <c r="A52" s="5"/>
      <c r="B52" s="14" t="s">
        <v>84</v>
      </c>
      <c r="C52" s="13"/>
      <c r="D52" s="13" t="s">
        <v>13</v>
      </c>
      <c r="E52" s="5">
        <v>7.0000000000000007E-2</v>
      </c>
      <c r="F52" s="5">
        <f t="shared" si="4"/>
        <v>0.14000000000000001</v>
      </c>
      <c r="G52" s="7">
        <v>107.7</v>
      </c>
      <c r="H52" s="7">
        <f t="shared" si="5"/>
        <v>89.75</v>
      </c>
      <c r="I52" s="8">
        <f t="shared" si="3"/>
        <v>6.2825000000000006</v>
      </c>
      <c r="J52" s="5"/>
      <c r="K52" s="5"/>
      <c r="L52" s="5"/>
      <c r="M52" s="5"/>
    </row>
    <row r="53" spans="1:13" x14ac:dyDescent="0.35">
      <c r="A53" s="5"/>
      <c r="B53" s="14" t="s">
        <v>85</v>
      </c>
      <c r="C53" s="13"/>
      <c r="D53" s="13" t="s">
        <v>13</v>
      </c>
      <c r="E53" s="5">
        <v>0.08</v>
      </c>
      <c r="F53" s="5">
        <f t="shared" si="4"/>
        <v>0.16</v>
      </c>
      <c r="G53" s="7">
        <v>108.8</v>
      </c>
      <c r="H53" s="7">
        <f t="shared" si="5"/>
        <v>90.666666666666671</v>
      </c>
      <c r="I53" s="8">
        <f t="shared" si="3"/>
        <v>7.2533333333333339</v>
      </c>
      <c r="J53" s="5"/>
      <c r="K53" s="5"/>
      <c r="L53" s="5"/>
      <c r="M53" s="5"/>
    </row>
    <row r="54" spans="1:13" x14ac:dyDescent="0.35">
      <c r="A54" s="5"/>
      <c r="B54" s="14" t="s">
        <v>86</v>
      </c>
      <c r="C54" s="13"/>
      <c r="D54" s="13" t="s">
        <v>13</v>
      </c>
      <c r="E54" s="5">
        <v>0.09</v>
      </c>
      <c r="F54" s="5">
        <f t="shared" si="4"/>
        <v>0.18</v>
      </c>
      <c r="G54" s="7">
        <v>109.9</v>
      </c>
      <c r="H54" s="7">
        <f t="shared" si="5"/>
        <v>91.583333333333343</v>
      </c>
      <c r="I54" s="8">
        <f t="shared" si="3"/>
        <v>8.2424999999999997</v>
      </c>
      <c r="J54" s="5"/>
      <c r="K54" s="5"/>
      <c r="L54" s="5"/>
      <c r="M54" s="5"/>
    </row>
    <row r="55" spans="1:13" x14ac:dyDescent="0.35">
      <c r="A55" s="9"/>
      <c r="B55" s="5" t="s">
        <v>15</v>
      </c>
      <c r="C55" s="13"/>
      <c r="D55" s="13" t="s">
        <v>13</v>
      </c>
      <c r="E55" s="5">
        <v>1</v>
      </c>
      <c r="F55" s="5">
        <f t="shared" si="4"/>
        <v>2</v>
      </c>
      <c r="G55" s="7"/>
      <c r="H55" s="7">
        <v>300</v>
      </c>
      <c r="I55" s="8">
        <f t="shared" si="3"/>
        <v>300</v>
      </c>
      <c r="J55" s="9">
        <f>(SUM(I31:I55))*1.2</f>
        <v>5518.6149999999989</v>
      </c>
      <c r="K55" s="5">
        <f>J55*E30</f>
        <v>11037.229999999998</v>
      </c>
      <c r="L55" s="5"/>
      <c r="M55" s="5"/>
    </row>
    <row r="56" spans="1:13" x14ac:dyDescent="0.35">
      <c r="A56" s="10"/>
      <c r="C56" s="11"/>
      <c r="D56" s="11"/>
    </row>
    <row r="57" spans="1:13" x14ac:dyDescent="0.35">
      <c r="A57" s="3">
        <v>16</v>
      </c>
      <c r="B57" s="3" t="s">
        <v>25</v>
      </c>
      <c r="C57" s="13"/>
      <c r="D57" s="13"/>
      <c r="E57" s="4">
        <v>1</v>
      </c>
      <c r="F57" s="5"/>
      <c r="G57" s="5"/>
      <c r="H57" s="5"/>
      <c r="I57" s="5"/>
      <c r="J57" s="6">
        <v>100001</v>
      </c>
      <c r="K57" s="5"/>
      <c r="L57" s="5"/>
      <c r="M57" s="5"/>
    </row>
    <row r="58" spans="1:13" x14ac:dyDescent="0.35">
      <c r="A58" s="9"/>
      <c r="B58" s="16" t="s">
        <v>24</v>
      </c>
      <c r="C58" s="13"/>
      <c r="D58" s="13" t="s">
        <v>13</v>
      </c>
      <c r="E58" s="5">
        <v>1</v>
      </c>
      <c r="F58" s="5">
        <f>E58*$E$57</f>
        <v>1</v>
      </c>
      <c r="G58" s="7"/>
      <c r="H58" s="7"/>
      <c r="I58" s="8"/>
      <c r="J58" s="7">
        <v>100001.1</v>
      </c>
      <c r="K58" s="5">
        <f>J58*E57</f>
        <v>100001.1</v>
      </c>
      <c r="L58" s="5"/>
      <c r="M58" s="5"/>
    </row>
    <row r="59" spans="1:13" x14ac:dyDescent="0.35">
      <c r="A59" s="10"/>
      <c r="C59" s="11"/>
      <c r="D59" s="11"/>
    </row>
    <row r="60" spans="1:13" x14ac:dyDescent="0.35">
      <c r="A60" s="3">
        <v>17</v>
      </c>
      <c r="B60" s="3" t="s">
        <v>25</v>
      </c>
      <c r="C60" s="13"/>
      <c r="D60" s="13"/>
      <c r="E60" s="4">
        <v>1</v>
      </c>
      <c r="F60" s="5"/>
      <c r="G60" s="5"/>
      <c r="H60" s="5"/>
      <c r="I60" s="5"/>
      <c r="J60" s="6">
        <v>100001</v>
      </c>
      <c r="K60" s="5"/>
      <c r="L60" s="5"/>
      <c r="M60" s="5"/>
    </row>
    <row r="61" spans="1:13" x14ac:dyDescent="0.35">
      <c r="A61" s="9"/>
      <c r="B61" s="16" t="s">
        <v>24</v>
      </c>
      <c r="C61" s="13"/>
      <c r="D61" s="13" t="s">
        <v>13</v>
      </c>
      <c r="E61" s="5">
        <v>1</v>
      </c>
      <c r="F61" s="5">
        <f>E61*$E$60</f>
        <v>1</v>
      </c>
      <c r="G61" s="7"/>
      <c r="H61" s="7"/>
      <c r="I61" s="8"/>
      <c r="J61" s="7">
        <v>100001.1</v>
      </c>
      <c r="K61" s="5">
        <f>J61*E60</f>
        <v>100001.1</v>
      </c>
      <c r="L61" s="5"/>
      <c r="M61" s="5"/>
    </row>
    <row r="62" spans="1:13" x14ac:dyDescent="0.35">
      <c r="A62" s="10"/>
      <c r="C62" s="11"/>
      <c r="D62" s="11"/>
    </row>
  </sheetData>
  <phoneticPr fontId="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6B1B3-F066-4150-BA06-51DF900E916B}">
  <sheetPr codeName="Лист3"/>
  <dimension ref="A1:F50"/>
  <sheetViews>
    <sheetView tabSelected="1" workbookViewId="0">
      <pane ySplit="1" topLeftCell="A2" activePane="bottomLeft" state="frozen"/>
      <selection pane="bottomLeft" activeCell="A46" sqref="A46"/>
    </sheetView>
  </sheetViews>
  <sheetFormatPr defaultRowHeight="14.5" x14ac:dyDescent="0.35"/>
  <cols>
    <col min="1" max="1" width="80.6328125" customWidth="1"/>
    <col min="2" max="2" width="11.453125" bestFit="1" customWidth="1"/>
    <col min="3" max="3" width="13.7265625" bestFit="1" customWidth="1"/>
    <col min="4" max="4" width="18.7265625" bestFit="1" customWidth="1"/>
    <col min="5" max="5" width="18.81640625" bestFit="1" customWidth="1"/>
    <col min="6" max="6" width="23" bestFit="1" customWidth="1"/>
  </cols>
  <sheetData>
    <row r="1" spans="1:6" x14ac:dyDescent="0.35">
      <c r="A1" s="17" t="s">
        <v>2</v>
      </c>
      <c r="B1" s="17" t="s">
        <v>3</v>
      </c>
      <c r="C1" s="17" t="s">
        <v>18</v>
      </c>
      <c r="D1" s="17" t="s">
        <v>19</v>
      </c>
      <c r="E1" s="17" t="s">
        <v>20</v>
      </c>
      <c r="F1" s="17" t="s">
        <v>21</v>
      </c>
    </row>
    <row r="2" spans="1:6" x14ac:dyDescent="0.35">
      <c r="A2" s="5" t="s">
        <v>39</v>
      </c>
      <c r="B2" s="5" t="s">
        <v>26</v>
      </c>
      <c r="C2" s="5" t="s">
        <v>13</v>
      </c>
      <c r="D2" s="5">
        <v>2</v>
      </c>
      <c r="E2" s="5">
        <v>201.01</v>
      </c>
      <c r="F2" s="5"/>
    </row>
    <row r="3" spans="1:6" x14ac:dyDescent="0.35">
      <c r="A3" s="5" t="s">
        <v>40</v>
      </c>
      <c r="B3" s="5" t="s">
        <v>30</v>
      </c>
      <c r="C3" s="5" t="s">
        <v>13</v>
      </c>
      <c r="D3" s="5">
        <v>2</v>
      </c>
      <c r="E3" s="5">
        <v>202.02</v>
      </c>
      <c r="F3" s="5"/>
    </row>
    <row r="4" spans="1:6" x14ac:dyDescent="0.35">
      <c r="A4" s="5" t="s">
        <v>41</v>
      </c>
      <c r="B4" s="5" t="s">
        <v>27</v>
      </c>
      <c r="C4" s="5" t="s">
        <v>13</v>
      </c>
      <c r="D4" s="5">
        <v>2</v>
      </c>
      <c r="E4" s="5">
        <v>203.03</v>
      </c>
      <c r="F4" s="5"/>
    </row>
    <row r="5" spans="1:6" x14ac:dyDescent="0.35">
      <c r="A5" s="5" t="s">
        <v>42</v>
      </c>
      <c r="B5" s="5" t="s">
        <v>29</v>
      </c>
      <c r="C5" s="5" t="s">
        <v>13</v>
      </c>
      <c r="D5" s="5">
        <v>2</v>
      </c>
      <c r="E5" s="5">
        <v>204.04</v>
      </c>
      <c r="F5" s="5"/>
    </row>
    <row r="6" spans="1:6" x14ac:dyDescent="0.35">
      <c r="A6" s="5" t="s">
        <v>43</v>
      </c>
      <c r="B6" s="5" t="s">
        <v>28</v>
      </c>
      <c r="C6" s="5" t="s">
        <v>13</v>
      </c>
      <c r="D6" s="5">
        <v>2</v>
      </c>
      <c r="E6" s="5">
        <v>205.05</v>
      </c>
      <c r="F6" s="5"/>
    </row>
    <row r="7" spans="1:6" x14ac:dyDescent="0.35">
      <c r="A7" s="5" t="s">
        <v>44</v>
      </c>
      <c r="B7" s="5" t="s">
        <v>31</v>
      </c>
      <c r="C7" s="5" t="s">
        <v>13</v>
      </c>
      <c r="D7" s="5">
        <v>2</v>
      </c>
      <c r="E7" s="5">
        <v>206.06</v>
      </c>
      <c r="F7" s="5"/>
    </row>
    <row r="8" spans="1:6" x14ac:dyDescent="0.35">
      <c r="A8" s="5" t="s">
        <v>45</v>
      </c>
      <c r="B8" s="5" t="s">
        <v>32</v>
      </c>
      <c r="C8" s="5" t="s">
        <v>13</v>
      </c>
      <c r="D8" s="5">
        <v>2</v>
      </c>
      <c r="E8" s="5">
        <v>207.07</v>
      </c>
      <c r="F8" s="5"/>
    </row>
    <row r="9" spans="1:6" x14ac:dyDescent="0.35">
      <c r="A9" s="5" t="s">
        <v>46</v>
      </c>
      <c r="B9" s="5" t="s">
        <v>33</v>
      </c>
      <c r="C9" s="5" t="s">
        <v>13</v>
      </c>
      <c r="D9" s="5">
        <v>4</v>
      </c>
      <c r="E9" s="5">
        <v>208.08</v>
      </c>
      <c r="F9" s="5"/>
    </row>
    <row r="10" spans="1:6" x14ac:dyDescent="0.35">
      <c r="A10" s="5" t="s">
        <v>47</v>
      </c>
      <c r="B10" s="5" t="s">
        <v>34</v>
      </c>
      <c r="C10" s="5" t="s">
        <v>14</v>
      </c>
      <c r="D10" s="5">
        <v>2</v>
      </c>
      <c r="E10" s="5">
        <v>209.09</v>
      </c>
      <c r="F10" s="5"/>
    </row>
    <row r="11" spans="1:6" x14ac:dyDescent="0.35">
      <c r="A11" s="5" t="s">
        <v>48</v>
      </c>
      <c r="B11" s="5" t="s">
        <v>35</v>
      </c>
      <c r="C11" s="5" t="s">
        <v>14</v>
      </c>
      <c r="D11" s="5">
        <v>0.6</v>
      </c>
      <c r="E11" s="5">
        <v>210.1</v>
      </c>
      <c r="F11" s="5"/>
    </row>
    <row r="12" spans="1:6" x14ac:dyDescent="0.35">
      <c r="A12" s="5" t="s">
        <v>49</v>
      </c>
      <c r="B12" s="5" t="s">
        <v>36</v>
      </c>
      <c r="C12" s="5" t="s">
        <v>13</v>
      </c>
      <c r="D12" s="5">
        <v>2</v>
      </c>
      <c r="E12" s="5">
        <v>211.11</v>
      </c>
      <c r="F12" s="5"/>
    </row>
    <row r="13" spans="1:6" x14ac:dyDescent="0.35">
      <c r="A13" s="5" t="s">
        <v>50</v>
      </c>
      <c r="B13" s="5" t="s">
        <v>37</v>
      </c>
      <c r="C13" s="5" t="s">
        <v>13</v>
      </c>
      <c r="D13" s="5">
        <v>2</v>
      </c>
      <c r="E13" s="5">
        <v>212.12</v>
      </c>
      <c r="F13" s="5"/>
    </row>
    <row r="14" spans="1:6" x14ac:dyDescent="0.35">
      <c r="A14" s="5" t="s">
        <v>51</v>
      </c>
      <c r="B14" s="5"/>
      <c r="C14" s="5" t="s">
        <v>13</v>
      </c>
      <c r="D14" s="5">
        <v>6</v>
      </c>
      <c r="E14" s="5">
        <v>213.13</v>
      </c>
      <c r="F14" s="5"/>
    </row>
    <row r="15" spans="1:6" x14ac:dyDescent="0.35">
      <c r="A15" s="5" t="s">
        <v>52</v>
      </c>
      <c r="B15" s="5"/>
      <c r="C15" s="5" t="s">
        <v>13</v>
      </c>
      <c r="D15" s="5">
        <v>10</v>
      </c>
      <c r="E15" s="5">
        <v>214.14</v>
      </c>
      <c r="F15" s="5"/>
    </row>
    <row r="16" spans="1:6" x14ac:dyDescent="0.35">
      <c r="A16" s="5" t="s">
        <v>53</v>
      </c>
      <c r="B16" s="5"/>
      <c r="C16" s="5" t="s">
        <v>13</v>
      </c>
      <c r="D16" s="5">
        <v>8</v>
      </c>
      <c r="E16" s="5">
        <v>215.15</v>
      </c>
      <c r="F16" s="5"/>
    </row>
    <row r="17" spans="1:6" x14ac:dyDescent="0.35">
      <c r="A17" s="5" t="s">
        <v>54</v>
      </c>
      <c r="B17" s="5"/>
      <c r="C17" s="5" t="s">
        <v>13</v>
      </c>
      <c r="D17" s="5">
        <v>0.02</v>
      </c>
      <c r="E17" s="5">
        <v>101.1</v>
      </c>
      <c r="F17" s="5"/>
    </row>
    <row r="18" spans="1:6" x14ac:dyDescent="0.35">
      <c r="A18" s="5" t="s">
        <v>55</v>
      </c>
      <c r="B18" s="5"/>
      <c r="C18" s="5" t="s">
        <v>13</v>
      </c>
      <c r="D18" s="5">
        <v>0.04</v>
      </c>
      <c r="E18" s="5">
        <v>102.2</v>
      </c>
      <c r="F18" s="5"/>
    </row>
    <row r="19" spans="1:6" x14ac:dyDescent="0.35">
      <c r="A19" s="5" t="s">
        <v>56</v>
      </c>
      <c r="B19" s="5"/>
      <c r="C19" s="5" t="s">
        <v>13</v>
      </c>
      <c r="D19" s="5">
        <v>0.06</v>
      </c>
      <c r="E19" s="5">
        <v>103.3</v>
      </c>
      <c r="F19" s="5"/>
    </row>
    <row r="20" spans="1:6" x14ac:dyDescent="0.35">
      <c r="A20" s="5" t="s">
        <v>57</v>
      </c>
      <c r="B20" s="5"/>
      <c r="C20" s="5" t="s">
        <v>13</v>
      </c>
      <c r="D20" s="5">
        <v>0.08</v>
      </c>
      <c r="E20" s="5">
        <v>104.4</v>
      </c>
      <c r="F20" s="5"/>
    </row>
    <row r="21" spans="1:6" x14ac:dyDescent="0.35">
      <c r="A21" s="5" t="s">
        <v>58</v>
      </c>
      <c r="B21" s="5"/>
      <c r="C21" s="5" t="s">
        <v>13</v>
      </c>
      <c r="D21" s="5">
        <v>0.1</v>
      </c>
      <c r="E21" s="5">
        <v>105.5</v>
      </c>
      <c r="F21" s="5"/>
    </row>
    <row r="22" spans="1:6" x14ac:dyDescent="0.35">
      <c r="A22" s="5" t="s">
        <v>59</v>
      </c>
      <c r="B22" s="5"/>
      <c r="C22" s="5" t="s">
        <v>13</v>
      </c>
      <c r="D22" s="5">
        <v>0.12</v>
      </c>
      <c r="E22" s="5">
        <v>106.6</v>
      </c>
      <c r="F22" s="5"/>
    </row>
    <row r="23" spans="1:6" x14ac:dyDescent="0.35">
      <c r="A23" s="5" t="s">
        <v>60</v>
      </c>
      <c r="B23" s="5"/>
      <c r="C23" s="5" t="s">
        <v>13</v>
      </c>
      <c r="D23" s="5">
        <v>0.14000000000000001</v>
      </c>
      <c r="E23" s="5">
        <v>107.7</v>
      </c>
      <c r="F23" s="5"/>
    </row>
    <row r="24" spans="1:6" x14ac:dyDescent="0.35">
      <c r="A24" s="5" t="s">
        <v>61</v>
      </c>
      <c r="B24" s="5"/>
      <c r="C24" s="5" t="s">
        <v>13</v>
      </c>
      <c r="D24" s="5">
        <v>0.16</v>
      </c>
      <c r="E24" s="5">
        <v>108.8</v>
      </c>
      <c r="F24" s="5"/>
    </row>
    <row r="25" spans="1:6" x14ac:dyDescent="0.35">
      <c r="A25" s="5" t="s">
        <v>62</v>
      </c>
      <c r="B25" s="5"/>
      <c r="C25" s="5" t="s">
        <v>13</v>
      </c>
      <c r="D25" s="5">
        <v>0.18</v>
      </c>
      <c r="E25" s="5">
        <v>109.9</v>
      </c>
      <c r="F25" s="5"/>
    </row>
    <row r="26" spans="1:6" x14ac:dyDescent="0.35">
      <c r="A26" s="5" t="s">
        <v>63</v>
      </c>
      <c r="B26" s="5" t="s">
        <v>26</v>
      </c>
      <c r="C26" s="5" t="s">
        <v>13</v>
      </c>
      <c r="D26" s="5">
        <v>2</v>
      </c>
      <c r="E26" s="5">
        <v>201.01</v>
      </c>
      <c r="F26" s="5"/>
    </row>
    <row r="27" spans="1:6" x14ac:dyDescent="0.35">
      <c r="A27" s="5" t="s">
        <v>64</v>
      </c>
      <c r="B27" s="5" t="s">
        <v>30</v>
      </c>
      <c r="C27" s="5" t="s">
        <v>13</v>
      </c>
      <c r="D27" s="5">
        <v>2</v>
      </c>
      <c r="E27" s="5">
        <v>202.02</v>
      </c>
      <c r="F27" s="5"/>
    </row>
    <row r="28" spans="1:6" x14ac:dyDescent="0.35">
      <c r="A28" s="5" t="s">
        <v>65</v>
      </c>
      <c r="B28" s="5" t="s">
        <v>27</v>
      </c>
      <c r="C28" s="5" t="s">
        <v>13</v>
      </c>
      <c r="D28" s="5">
        <v>2</v>
      </c>
      <c r="E28" s="5">
        <v>203.03</v>
      </c>
      <c r="F28" s="5"/>
    </row>
    <row r="29" spans="1:6" x14ac:dyDescent="0.35">
      <c r="A29" s="5" t="s">
        <v>66</v>
      </c>
      <c r="B29" s="5" t="s">
        <v>29</v>
      </c>
      <c r="C29" s="5" t="s">
        <v>13</v>
      </c>
      <c r="D29" s="5">
        <v>2</v>
      </c>
      <c r="E29" s="5">
        <v>204.04</v>
      </c>
      <c r="F29" s="5"/>
    </row>
    <row r="30" spans="1:6" x14ac:dyDescent="0.35">
      <c r="A30" s="5" t="s">
        <v>67</v>
      </c>
      <c r="B30" s="5" t="s">
        <v>28</v>
      </c>
      <c r="C30" s="5" t="s">
        <v>13</v>
      </c>
      <c r="D30" s="5">
        <v>2</v>
      </c>
      <c r="E30" s="5">
        <v>205.05</v>
      </c>
      <c r="F30" s="5"/>
    </row>
    <row r="31" spans="1:6" x14ac:dyDescent="0.35">
      <c r="A31" s="5" t="s">
        <v>68</v>
      </c>
      <c r="B31" s="5" t="s">
        <v>31</v>
      </c>
      <c r="C31" s="5" t="s">
        <v>13</v>
      </c>
      <c r="D31" s="5">
        <v>2</v>
      </c>
      <c r="E31" s="5">
        <v>206.06</v>
      </c>
      <c r="F31" s="5"/>
    </row>
    <row r="32" spans="1:6" x14ac:dyDescent="0.35">
      <c r="A32" s="5" t="s">
        <v>69</v>
      </c>
      <c r="B32" s="5" t="s">
        <v>32</v>
      </c>
      <c r="C32" s="5" t="s">
        <v>13</v>
      </c>
      <c r="D32" s="5">
        <v>2</v>
      </c>
      <c r="E32" s="5">
        <v>207.07</v>
      </c>
      <c r="F32" s="5"/>
    </row>
    <row r="33" spans="1:6" x14ac:dyDescent="0.35">
      <c r="A33" s="5" t="s">
        <v>70</v>
      </c>
      <c r="B33" s="5" t="s">
        <v>33</v>
      </c>
      <c r="C33" s="5" t="s">
        <v>13</v>
      </c>
      <c r="D33" s="5">
        <v>4</v>
      </c>
      <c r="E33" s="5">
        <v>208.08</v>
      </c>
      <c r="F33" s="5"/>
    </row>
    <row r="34" spans="1:6" x14ac:dyDescent="0.35">
      <c r="A34" s="5" t="s">
        <v>71</v>
      </c>
      <c r="B34" s="5" t="s">
        <v>34</v>
      </c>
      <c r="C34" s="5" t="s">
        <v>14</v>
      </c>
      <c r="D34" s="5">
        <v>2</v>
      </c>
      <c r="E34" s="5">
        <v>209.09</v>
      </c>
      <c r="F34" s="5"/>
    </row>
    <row r="35" spans="1:6" x14ac:dyDescent="0.35">
      <c r="A35" s="5" t="s">
        <v>72</v>
      </c>
      <c r="B35" s="5" t="s">
        <v>35</v>
      </c>
      <c r="C35" s="5" t="s">
        <v>14</v>
      </c>
      <c r="D35" s="5">
        <v>0.6</v>
      </c>
      <c r="E35" s="5">
        <v>210.1</v>
      </c>
      <c r="F35" s="5"/>
    </row>
    <row r="36" spans="1:6" x14ac:dyDescent="0.35">
      <c r="A36" s="5" t="s">
        <v>73</v>
      </c>
      <c r="B36" s="5" t="s">
        <v>36</v>
      </c>
      <c r="C36" s="5" t="s">
        <v>13</v>
      </c>
      <c r="D36" s="5">
        <v>2</v>
      </c>
      <c r="E36" s="5">
        <v>211.11</v>
      </c>
      <c r="F36" s="5"/>
    </row>
    <row r="37" spans="1:6" x14ac:dyDescent="0.35">
      <c r="A37" s="5" t="s">
        <v>74</v>
      </c>
      <c r="B37" s="5" t="s">
        <v>37</v>
      </c>
      <c r="C37" s="5" t="s">
        <v>13</v>
      </c>
      <c r="D37" s="5">
        <v>2</v>
      </c>
      <c r="E37" s="5">
        <v>212.12</v>
      </c>
      <c r="F37" s="5"/>
    </row>
    <row r="38" spans="1:6" x14ac:dyDescent="0.35">
      <c r="A38" s="5" t="s">
        <v>75</v>
      </c>
      <c r="B38" s="5"/>
      <c r="C38" s="5" t="s">
        <v>13</v>
      </c>
      <c r="D38" s="5">
        <v>6</v>
      </c>
      <c r="E38" s="5">
        <v>213.13</v>
      </c>
      <c r="F38" s="5"/>
    </row>
    <row r="39" spans="1:6" x14ac:dyDescent="0.35">
      <c r="A39" s="5" t="s">
        <v>76</v>
      </c>
      <c r="B39" s="5"/>
      <c r="C39" s="5" t="s">
        <v>13</v>
      </c>
      <c r="D39" s="5">
        <v>10</v>
      </c>
      <c r="E39" s="5">
        <v>214.14</v>
      </c>
      <c r="F39" s="5"/>
    </row>
    <row r="40" spans="1:6" x14ac:dyDescent="0.35">
      <c r="A40" s="5" t="s">
        <v>77</v>
      </c>
      <c r="B40" s="5"/>
      <c r="C40" s="5" t="s">
        <v>13</v>
      </c>
      <c r="D40" s="5">
        <v>8</v>
      </c>
      <c r="E40" s="5">
        <v>215.15</v>
      </c>
      <c r="F40" s="5"/>
    </row>
    <row r="41" spans="1:6" x14ac:dyDescent="0.35">
      <c r="A41" s="5" t="s">
        <v>78</v>
      </c>
      <c r="B41" s="5"/>
      <c r="C41" s="5" t="s">
        <v>13</v>
      </c>
      <c r="D41" s="5">
        <v>0.02</v>
      </c>
      <c r="E41" s="5">
        <v>101.1</v>
      </c>
      <c r="F41" s="5"/>
    </row>
    <row r="42" spans="1:6" x14ac:dyDescent="0.35">
      <c r="A42" s="5" t="s">
        <v>79</v>
      </c>
      <c r="B42" s="5"/>
      <c r="C42" s="5" t="s">
        <v>13</v>
      </c>
      <c r="D42" s="5">
        <v>0.04</v>
      </c>
      <c r="E42" s="5">
        <v>102.2</v>
      </c>
      <c r="F42" s="5"/>
    </row>
    <row r="43" spans="1:6" x14ac:dyDescent="0.35">
      <c r="A43" s="5" t="s">
        <v>80</v>
      </c>
      <c r="B43" s="5"/>
      <c r="C43" s="5" t="s">
        <v>13</v>
      </c>
      <c r="D43" s="5">
        <v>0.06</v>
      </c>
      <c r="E43" s="5">
        <v>103.3</v>
      </c>
      <c r="F43" s="5"/>
    </row>
    <row r="44" spans="1:6" x14ac:dyDescent="0.35">
      <c r="A44" s="5" t="s">
        <v>81</v>
      </c>
      <c r="B44" s="5"/>
      <c r="C44" s="5" t="s">
        <v>13</v>
      </c>
      <c r="D44" s="5">
        <v>0.08</v>
      </c>
      <c r="E44" s="5">
        <v>104.4</v>
      </c>
      <c r="F44" s="5"/>
    </row>
    <row r="45" spans="1:6" x14ac:dyDescent="0.35">
      <c r="A45" s="5" t="s">
        <v>82</v>
      </c>
      <c r="B45" s="5"/>
      <c r="C45" s="5" t="s">
        <v>13</v>
      </c>
      <c r="D45" s="5">
        <v>0.1</v>
      </c>
      <c r="E45" s="5">
        <v>105.5</v>
      </c>
      <c r="F45" s="5"/>
    </row>
    <row r="46" spans="1:6" x14ac:dyDescent="0.35">
      <c r="A46" s="5" t="s">
        <v>83</v>
      </c>
      <c r="B46" s="5"/>
      <c r="C46" s="5" t="s">
        <v>13</v>
      </c>
      <c r="D46" s="5">
        <v>0.12</v>
      </c>
      <c r="E46" s="5">
        <v>106.6</v>
      </c>
      <c r="F46" s="5"/>
    </row>
    <row r="47" spans="1:6" x14ac:dyDescent="0.35">
      <c r="A47" s="5" t="s">
        <v>84</v>
      </c>
      <c r="B47" s="5"/>
      <c r="C47" s="5" t="s">
        <v>13</v>
      </c>
      <c r="D47" s="5">
        <v>0.14000000000000001</v>
      </c>
      <c r="E47" s="5">
        <v>107.7</v>
      </c>
      <c r="F47" s="5"/>
    </row>
    <row r="48" spans="1:6" x14ac:dyDescent="0.35">
      <c r="A48" s="5" t="s">
        <v>85</v>
      </c>
      <c r="B48" s="5"/>
      <c r="C48" s="5" t="s">
        <v>13</v>
      </c>
      <c r="D48" s="5">
        <v>0.16</v>
      </c>
      <c r="E48" s="5">
        <v>108.8</v>
      </c>
      <c r="F48" s="5"/>
    </row>
    <row r="49" spans="1:6" x14ac:dyDescent="0.35">
      <c r="A49" s="5" t="s">
        <v>86</v>
      </c>
      <c r="B49" s="5"/>
      <c r="C49" s="5" t="s">
        <v>13</v>
      </c>
      <c r="D49" s="5">
        <v>0.18</v>
      </c>
      <c r="E49" s="5">
        <v>109.9</v>
      </c>
      <c r="F49" s="5"/>
    </row>
    <row r="50" spans="1:6" x14ac:dyDescent="0.35">
      <c r="A50" s="5" t="s">
        <v>24</v>
      </c>
      <c r="B50" s="5"/>
      <c r="C50" s="5" t="s">
        <v>13</v>
      </c>
      <c r="D50" s="5">
        <v>2</v>
      </c>
      <c r="E50" s="5"/>
      <c r="F50" s="5"/>
    </row>
  </sheetData>
  <sortState xmlns:xlrd2="http://schemas.microsoft.com/office/spreadsheetml/2017/richdata2" ref="A2:F51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Panel</vt:lpstr>
      <vt:lpstr>Спецификация</vt:lpstr>
      <vt:lpstr>Комплектующие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С.</dc:creator>
  <cp:lastModifiedBy>Anon</cp:lastModifiedBy>
  <dcterms:created xsi:type="dcterms:W3CDTF">2022-10-22T13:50:14Z</dcterms:created>
  <dcterms:modified xsi:type="dcterms:W3CDTF">2023-02-04T12:30:32Z</dcterms:modified>
</cp:coreProperties>
</file>